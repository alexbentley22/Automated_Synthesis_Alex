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alexb22_mit_edu/Documents/Documents/Automated Synthesis/Automated-Synthesis-Alex-B-/runs/runs/AB_Runs/AB_replicating_DW2_14/"/>
    </mc:Choice>
  </mc:AlternateContent>
  <xr:revisionPtr revIDLastSave="9" documentId="8_{F402B9D9-3956-4204-B9D6-DAD55111438E}" xr6:coauthVersionLast="47" xr6:coauthVersionMax="47" xr10:uidLastSave="{38607F2B-A244-4F4C-8205-2506B31DE68D}"/>
  <bookViews>
    <workbookView xWindow="-110" yWindow="-110" windowWidth="19420" windowHeight="11500" xr2:uid="{1F3E78CA-97B2-419F-9C34-2FF7701E1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4" i="1"/>
  <c r="D4" i="1" s="1"/>
  <c r="D2" i="1"/>
  <c r="B8" i="1" s="1"/>
  <c r="D5" i="1"/>
  <c r="D3" i="1"/>
  <c r="B11" i="1" l="1"/>
</calcChain>
</file>

<file path=xl/sharedStrings.xml><?xml version="1.0" encoding="utf-8"?>
<sst xmlns="http://schemas.openxmlformats.org/spreadsheetml/2006/main" count="12" uniqueCount="12">
  <si>
    <t>Chemical</t>
  </si>
  <si>
    <t>MW (g/mol)</t>
  </si>
  <si>
    <t>Density (g/mL)</t>
  </si>
  <si>
    <t>Volume (mL) or Mass (mg)</t>
  </si>
  <si>
    <t>2-{[(butylsulfanyl)carbonothioyl]sulfanyl}propanoic acid (BTPA)</t>
  </si>
  <si>
    <t>Methyl Acrylate (MA)</t>
  </si>
  <si>
    <t>Zinc Tetraphenylporphyrin (ZnTPP)</t>
  </si>
  <si>
    <t>Vial 1 Volume (MA+BTPA+DMSO) (mL)</t>
  </si>
  <si>
    <t>Vial 2 Volume (MA+BTPA+ZnTPP+DMSO) (mL)</t>
  </si>
  <si>
    <t>DMSO Volume (mL)</t>
  </si>
  <si>
    <t>Initial Concentration (M)</t>
  </si>
  <si>
    <t>Benzene (Standard for NMR)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</si>
</sst>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515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BEF1-E50B-4D83-9AB8-41870F929CD8}">
  <dimension ref="A1:E11"/>
  <sheetViews>
    <sheetView tabSelected="1" workbookViewId="0">
      <selection activeCell="E4" sqref="E4"/>
    </sheetView>
  </sheetViews>
  <sheetFormatPr defaultRowHeight="14.5" x14ac:dyDescent="0.35"/>
  <cols>
    <col min="1" max="1" width="53" customWidth="1"/>
    <col min="2" max="2" width="17.90625" customWidth="1"/>
    <col min="3" max="3" width="13.54296875" customWidth="1"/>
    <col min="4" max="4" width="24.54296875" customWidth="1"/>
    <col min="5" max="5" width="22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5">
      <c r="A2" t="s">
        <v>5</v>
      </c>
      <c r="B2">
        <v>86.09</v>
      </c>
      <c r="C2">
        <v>0.95599999999999996</v>
      </c>
      <c r="D2">
        <f>E2*(A8/1000)*B2/C2</f>
        <v>1.8010460251046025</v>
      </c>
      <c r="E2">
        <f>200*E3</f>
        <v>2</v>
      </c>
    </row>
    <row r="3" spans="1:5" x14ac:dyDescent="0.35">
      <c r="A3" s="1" t="s">
        <v>4</v>
      </c>
      <c r="B3">
        <v>238.4</v>
      </c>
      <c r="D3">
        <f>E3*(A8/1000)*B3*1000</f>
        <v>23.84</v>
      </c>
      <c r="E3">
        <v>0.01</v>
      </c>
    </row>
    <row r="4" spans="1:5" x14ac:dyDescent="0.35">
      <c r="A4" t="s">
        <v>6</v>
      </c>
      <c r="B4">
        <v>678.1</v>
      </c>
      <c r="D4">
        <f>E4*(A11/1000)*B4*1000</f>
        <v>8.1372000000000018</v>
      </c>
      <c r="E4">
        <f>(6*(10^-4))*E2</f>
        <v>1.2000000000000001E-3</v>
      </c>
    </row>
    <row r="5" spans="1:5" x14ac:dyDescent="0.35">
      <c r="A5" t="s">
        <v>11</v>
      </c>
      <c r="B5">
        <v>78.11</v>
      </c>
      <c r="C5">
        <v>0.879</v>
      </c>
      <c r="D5">
        <f>E5*(A8/1000)*B5/C5</f>
        <v>0.35544937428896473</v>
      </c>
      <c r="E5">
        <v>0.4</v>
      </c>
    </row>
    <row r="7" spans="1:5" x14ac:dyDescent="0.35">
      <c r="A7" t="s">
        <v>7</v>
      </c>
      <c r="B7" t="s">
        <v>9</v>
      </c>
    </row>
    <row r="8" spans="1:5" x14ac:dyDescent="0.35">
      <c r="A8">
        <v>10</v>
      </c>
      <c r="B8">
        <f>A8-D2-D5</f>
        <v>7.8435046006064333</v>
      </c>
    </row>
    <row r="10" spans="1:5" x14ac:dyDescent="0.35">
      <c r="A10" t="s">
        <v>8</v>
      </c>
    </row>
    <row r="11" spans="1:5" x14ac:dyDescent="0.35">
      <c r="A11">
        <v>10</v>
      </c>
      <c r="B11">
        <f>A11-D2-D5</f>
        <v>7.8435046006064333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Bentley</dc:creator>
  <cp:lastModifiedBy>Alexander Bentley</cp:lastModifiedBy>
  <dcterms:created xsi:type="dcterms:W3CDTF">2026-04-17T17:56:15Z</dcterms:created>
  <dcterms:modified xsi:type="dcterms:W3CDTF">2026-05-23T14:03:06Z</dcterms:modified>
</cp:coreProperties>
</file>